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2"/>
    <sheet name="Commission Model" sheetId="2" state="visible" r:id="rId3"/>
    <sheet name="Opportunity Sizing" sheetId="3" state="visible" r:id="rId4"/>
    <sheet name="Raw Data Summary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<sst xmlns="http://schemas.openxmlformats.org/spreadsheetml/2006/main" count="123" uniqueCount="114">
  <si>
    <t xml:space="preserve">RM MARKETING - SALES OPPORTUNITY MODEL</t>
  </si>
  <si>
    <t xml:space="preserve">Financial Analysis &amp; Commission Scenarios</t>
  </si>
  <si>
    <t xml:space="preserve">CURRENT STATE (90 Days: Oct 30, 2025 - Jan 30, 2026)</t>
  </si>
  <si>
    <t xml:space="preserve">Metric</t>
  </si>
  <si>
    <t xml:space="preserve">Value</t>
  </si>
  <si>
    <t xml:space="preserve">Notes</t>
  </si>
  <si>
    <t xml:space="preserve">Total Revenue</t>
  </si>
  <si>
    <t xml:space="preserve">From payment data</t>
  </si>
  <si>
    <t xml:space="preserve">Successful Transactions</t>
  </si>
  <si>
    <t xml:space="preserve">Paid status</t>
  </si>
  <si>
    <t xml:space="preserve">Failed Payments</t>
  </si>
  <si>
    <t xml:space="preserve">Lost revenue opportunity</t>
  </si>
  <si>
    <t xml:space="preserve">Refunds</t>
  </si>
  <si>
    <t xml:space="preserve">Unique Customers</t>
  </si>
  <si>
    <t xml:space="preserve">New Customer Revenue</t>
  </si>
  <si>
    <t xml:space="preserve">First-time purchases only</t>
  </si>
  <si>
    <t xml:space="preserve">Renewal Revenue</t>
  </si>
  <si>
    <t xml:space="preserve">Repeat purchases</t>
  </si>
  <si>
    <t xml:space="preserve">FUNNEL PERFORMANCE</t>
  </si>
  <si>
    <t xml:space="preserve">Stage</t>
  </si>
  <si>
    <t xml:space="preserve">Count</t>
  </si>
  <si>
    <t xml:space="preserve">Conversion</t>
  </si>
  <si>
    <t xml:space="preserve">Total Contacts</t>
  </si>
  <si>
    <t xml:space="preserve">-</t>
  </si>
  <si>
    <t xml:space="preserve">Unattributed (N/A)</t>
  </si>
  <si>
    <t xml:space="preserve">AOF Opt-ins</t>
  </si>
  <si>
    <t xml:space="preserve">Tripwire Purchases</t>
  </si>
  <si>
    <t xml:space="preserve">Appointments Booked</t>
  </si>
  <si>
    <t xml:space="preserve">Appointments Shown</t>
  </si>
  <si>
    <t xml:space="preserve">No-Shows</t>
  </si>
  <si>
    <t xml:space="preserve">Estimated Closes</t>
  </si>
  <si>
    <t xml:space="preserve">COMMISSION SCENARIO ANALYSIS</t>
  </si>
  <si>
    <t xml:space="preserve">ASSUMPTIONS (Blue = Adjustable)</t>
  </si>
  <si>
    <t xml:space="preserve">Parameter</t>
  </si>
  <si>
    <t xml:space="preserve">Current Offer</t>
  </si>
  <si>
    <t xml:space="preserve">Option A</t>
  </si>
  <si>
    <t xml:space="preserve">Option C</t>
  </si>
  <si>
    <t xml:space="preserve">Base Salary (monthly)</t>
  </si>
  <si>
    <t xml:space="preserve">One-time Commission %</t>
  </si>
  <si>
    <t xml:space="preserve">Recurring Commission (1st month)</t>
  </si>
  <si>
    <t xml:space="preserve">Recurring Ongoing %</t>
  </si>
  <si>
    <t xml:space="preserve">Setter Base (wife)</t>
  </si>
  <si>
    <t xml:space="preserve">Setter Per Appointment</t>
  </si>
  <si>
    <t xml:space="preserve">MONTHLY REVENUE SCENARIOS</t>
  </si>
  <si>
    <t xml:space="preserve">Revenue Type</t>
  </si>
  <si>
    <t xml:space="preserve">Conservative</t>
  </si>
  <si>
    <t xml:space="preserve">Moderate</t>
  </si>
  <si>
    <t xml:space="preserve">Aggressive</t>
  </si>
  <si>
    <t xml:space="preserve">New One-Time Revenue</t>
  </si>
  <si>
    <t xml:space="preserve">New Recurring First Months</t>
  </si>
  <si>
    <t xml:space="preserve">MONTHLY EARNINGS CALCULATION</t>
  </si>
  <si>
    <t xml:space="preserve">Component</t>
  </si>
  <si>
    <t xml:space="preserve">Cons/Current</t>
  </si>
  <si>
    <t xml:space="preserve">Mod/Option A</t>
  </si>
  <si>
    <t xml:space="preserve">Agg/Option C</t>
  </si>
  <si>
    <t xml:space="preserve">Base Salary</t>
  </si>
  <si>
    <t xml:space="preserve">One-Time Commission</t>
  </si>
  <si>
    <t xml:space="preserve">Recurring (1st Month)</t>
  </si>
  <si>
    <t xml:space="preserve">Setter Earnings</t>
  </si>
  <si>
    <t xml:space="preserve">TOTAL MONTHLY</t>
  </si>
  <si>
    <t xml:space="preserve">REVENUE RECOVERY OPPORTUNITIES</t>
  </si>
  <si>
    <t xml:space="preserve">KEY ASSUMPTIONS</t>
  </si>
  <si>
    <t xml:space="preserve">Current Show Rate</t>
  </si>
  <si>
    <t xml:space="preserve">6 shows / 17 booked</t>
  </si>
  <si>
    <t xml:space="preserve">Target Show Rate</t>
  </si>
  <si>
    <t xml:space="preserve">Industry standard with proper follow-up</t>
  </si>
  <si>
    <t xml:space="preserve">Current Appt/Lead Rate</t>
  </si>
  <si>
    <t xml:space="preserve">17 appts / 98 opt-ins</t>
  </si>
  <si>
    <t xml:space="preserve">Target Appt/Lead Rate</t>
  </si>
  <si>
    <t xml:space="preserve">With nurture sequences</t>
  </si>
  <si>
    <t xml:space="preserve">Failed Payment Recovery Rate</t>
  </si>
  <si>
    <t xml:space="preserve">Industry avg with dunning</t>
  </si>
  <si>
    <t xml:space="preserve">Database Size</t>
  </si>
  <si>
    <t xml:space="preserve">Dormant contacts</t>
  </si>
  <si>
    <t xml:space="preserve">Database Reactivation Rate</t>
  </si>
  <si>
    <t xml:space="preserve">Conservative 0.5%</t>
  </si>
  <si>
    <t xml:space="preserve">Avg Deal Value</t>
  </si>
  <si>
    <t xml:space="preserve">$500/mo coaching</t>
  </si>
  <si>
    <t xml:space="preserve">MONTHLY OPPORTUNITY CALCULATION</t>
  </si>
  <si>
    <t xml:space="preserve">Opportunity</t>
  </si>
  <si>
    <t xml:space="preserve">Show Rate Fix (add'l closes)</t>
  </si>
  <si>
    <t xml:space="preserve">Lead Nurture (add'l appts)</t>
  </si>
  <si>
    <t xml:space="preserve">Failed Payment Recovery</t>
  </si>
  <si>
    <t xml:space="preserve">Database Reactivation</t>
  </si>
  <si>
    <t xml:space="preserve">TOTAL MONTHLY OPPORTUNITY</t>
  </si>
  <si>
    <t xml:space="preserve">PAYMENT DATA ANALYSIS (90 Days)</t>
  </si>
  <si>
    <t xml:space="preserve">REVENUE BY PRODUCT CATEGORY</t>
  </si>
  <si>
    <t xml:space="preserve">Category</t>
  </si>
  <si>
    <t xml:space="preserve">Revenue</t>
  </si>
  <si>
    <t xml:space="preserve">Transactions</t>
  </si>
  <si>
    <t xml:space="preserve">% of Total</t>
  </si>
  <si>
    <t xml:space="preserve">Avg Ticket</t>
  </si>
  <si>
    <t xml:space="preserve">Tripwires ($7-$26)</t>
  </si>
  <si>
    <t xml:space="preserve">Low Ticket ($97-$197)</t>
  </si>
  <si>
    <t xml:space="preserve">Mid Ticket ($297-$597)</t>
  </si>
  <si>
    <t xml:space="preserve">High Ticket ($650-$997)</t>
  </si>
  <si>
    <t xml:space="preserve">Premium ($5,000+)</t>
  </si>
  <si>
    <t xml:space="preserve">TOTAL</t>
  </si>
  <si>
    <t xml:space="preserve">MONTHLY TREND (NEW CUSTOMERS ONLY)</t>
  </si>
  <si>
    <t xml:space="preserve">Month</t>
  </si>
  <si>
    <t xml:space="preserve">New Customer Rev</t>
  </si>
  <si>
    <t xml:space="preserve">% Change</t>
  </si>
  <si>
    <t xml:space="preserve">November 2025</t>
  </si>
  <si>
    <t xml:space="preserve">December 2025</t>
  </si>
  <si>
    <t xml:space="preserve">January 2026</t>
  </si>
  <si>
    <t xml:space="preserve">ESTIMATED MRR</t>
  </si>
  <si>
    <t xml:space="preserve">Source</t>
  </si>
  <si>
    <t xml:space="preserve">Customers</t>
  </si>
  <si>
    <t xml:space="preserve">Rate</t>
  </si>
  <si>
    <t xml:space="preserve">MRR</t>
  </si>
  <si>
    <t xml:space="preserve">Stripe Subscriptions</t>
  </si>
  <si>
    <t xml:space="preserve">$650/mo (Hidden)</t>
  </si>
  <si>
    <t xml:space="preserve">$997/mo</t>
  </si>
  <si>
    <t xml:space="preserve">TOTAL MRR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</si>
</sst>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.0%"/>
    <numFmt numFmtId="168" formatCode="\$#,##0"/>
    <numFmt numFmtId="169" formatCode="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5F"/>
      <name val="Cambria"/>
      <family val="0"/>
      <charset val="1"/>
    </font>
    <font>
      <sz val="12"/>
      <color rgb="FF666666"/>
      <name val="Cambria"/>
      <family val="0"/>
      <charset val="1"/>
    </font>
    <font>
      <b val="true"/>
      <sz val="12"/>
      <color rgb="FF1E3A5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EBEE"/>
        <bgColor rgb="FFE8F5E9"/>
      </patternFill>
    </fill>
    <fill>
      <patternFill patternType="solid">
        <fgColor rgb="FFE8F5E9"/>
        <bgColor rgb="FFFFE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5" min="2" style="1" width="1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6</v>
      </c>
      <c r="B6" s="7" t="n">
        <v>109927.38</v>
      </c>
      <c r="C6" s="6" t="s">
        <v>7</v>
      </c>
    </row>
    <row r="7" customFormat="false" ht="15" hidden="false" customHeight="true" outlineLevel="0" collapsed="false">
      <c r="A7" s="6" t="s">
        <v>8</v>
      </c>
      <c r="B7" s="8" t="n">
        <v>214</v>
      </c>
      <c r="C7" s="6" t="s">
        <v>9</v>
      </c>
    </row>
    <row r="8" customFormat="false" ht="15" hidden="false" customHeight="true" outlineLevel="0" collapsed="false">
      <c r="A8" s="6" t="s">
        <v>10</v>
      </c>
      <c r="B8" s="7" t="n">
        <v>25870.38</v>
      </c>
      <c r="C8" s="6" t="s">
        <v>11</v>
      </c>
    </row>
    <row r="9" customFormat="false" ht="15" hidden="false" customHeight="true" outlineLevel="0" collapsed="false">
      <c r="A9" s="6" t="s">
        <v>12</v>
      </c>
      <c r="B9" s="7" t="n">
        <v>5508</v>
      </c>
      <c r="C9" s="6"/>
    </row>
    <row r="10" customFormat="false" ht="15" hidden="false" customHeight="true" outlineLevel="0" collapsed="false">
      <c r="A10" s="6" t="s">
        <v>13</v>
      </c>
      <c r="B10" s="8" t="n">
        <v>118</v>
      </c>
      <c r="C10" s="6"/>
    </row>
    <row r="11" customFormat="false" ht="15" hidden="false" customHeight="true" outlineLevel="0" collapsed="false">
      <c r="A11" s="6" t="s">
        <v>14</v>
      </c>
      <c r="B11" s="7" t="n">
        <v>44851.88</v>
      </c>
      <c r="C11" s="6" t="s">
        <v>15</v>
      </c>
    </row>
    <row r="12" customFormat="false" ht="15" hidden="false" customHeight="true" outlineLevel="0" collapsed="false">
      <c r="A12" s="6" t="s">
        <v>16</v>
      </c>
      <c r="B12" s="7" t="n">
        <v>65075.5</v>
      </c>
      <c r="C12" s="6" t="s">
        <v>17</v>
      </c>
    </row>
    <row r="14" customFormat="false" ht="15" hidden="false" customHeight="true" outlineLevel="0" collapsed="false">
      <c r="A14" s="9" t="s">
        <v>18</v>
      </c>
    </row>
    <row r="15" customFormat="false" ht="15" hidden="false" customHeight="true" outlineLevel="0" collapsed="false">
      <c r="A15" s="5" t="s">
        <v>19</v>
      </c>
      <c r="B15" s="5" t="s">
        <v>20</v>
      </c>
      <c r="C15" s="5" t="s">
        <v>21</v>
      </c>
    </row>
    <row r="16" customFormat="false" ht="15" hidden="false" customHeight="true" outlineLevel="0" collapsed="false">
      <c r="A16" s="6" t="s">
        <v>22</v>
      </c>
      <c r="B16" s="6" t="n">
        <v>344</v>
      </c>
      <c r="C16" s="6" t="s">
        <v>23</v>
      </c>
    </row>
    <row r="17" customFormat="false" ht="15" hidden="false" customHeight="true" outlineLevel="0" collapsed="false">
      <c r="A17" s="6" t="s">
        <v>24</v>
      </c>
      <c r="B17" s="6" t="n">
        <v>150</v>
      </c>
      <c r="C17" s="10" t="n">
        <v>0.436</v>
      </c>
    </row>
    <row r="18" customFormat="false" ht="15" hidden="false" customHeight="true" outlineLevel="0" collapsed="false">
      <c r="A18" s="6" t="s">
        <v>25</v>
      </c>
      <c r="B18" s="6" t="n">
        <v>98</v>
      </c>
      <c r="C18" s="6" t="s">
        <v>23</v>
      </c>
    </row>
    <row r="19" customFormat="false" ht="15" hidden="false" customHeight="true" outlineLevel="0" collapsed="false">
      <c r="A19" s="6" t="s">
        <v>26</v>
      </c>
      <c r="B19" s="6" t="n">
        <v>54</v>
      </c>
      <c r="C19" s="10" t="n">
        <f aca="false">B18/B17</f>
        <v>0.653333333333333</v>
      </c>
    </row>
    <row r="20" customFormat="false" ht="15" hidden="false" customHeight="true" outlineLevel="0" collapsed="false">
      <c r="A20" s="6" t="s">
        <v>27</v>
      </c>
      <c r="B20" s="6" t="n">
        <v>17</v>
      </c>
      <c r="C20" s="10" t="n">
        <f aca="false">B19/B17</f>
        <v>0.36</v>
      </c>
    </row>
    <row r="21" customFormat="false" ht="15" hidden="false" customHeight="true" outlineLevel="0" collapsed="false">
      <c r="A21" s="11" t="s">
        <v>28</v>
      </c>
      <c r="B21" s="11" t="n">
        <v>6</v>
      </c>
      <c r="C21" s="12" t="n">
        <f aca="false">B20/B19</f>
        <v>0.314814814814815</v>
      </c>
    </row>
    <row r="22" customFormat="false" ht="15" hidden="false" customHeight="true" outlineLevel="0" collapsed="false">
      <c r="A22" s="6" t="s">
        <v>29</v>
      </c>
      <c r="B22" s="6" t="n">
        <v>11</v>
      </c>
      <c r="C22" s="10" t="n">
        <f aca="false">B21/B19</f>
        <v>0.111111111111111</v>
      </c>
    </row>
    <row r="23" customFormat="false" ht="15" hidden="false" customHeight="true" outlineLevel="0" collapsed="false">
      <c r="A23" s="6" t="s">
        <v>30</v>
      </c>
      <c r="B23" s="6" t="n">
        <v>4</v>
      </c>
      <c r="C23" s="10" t="n">
        <f aca="false">B22/B20</f>
        <v>0.647058823529412</v>
      </c>
    </row>
  </sheetData>
  <mergeCells count="2">
    <mergeCell ref="A1:E1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8"/>
  </cols>
  <sheetData>
    <row r="1" customFormat="false" ht="15" hidden="false" customHeight="true" outlineLevel="0" collapsed="false">
      <c r="A1" s="2" t="s">
        <v>31</v>
      </c>
      <c r="B1" s="2"/>
      <c r="C1" s="2"/>
      <c r="D1" s="2"/>
      <c r="E1" s="2"/>
    </row>
    <row r="3" customFormat="false" ht="15" hidden="false" customHeight="true" outlineLevel="0" collapsed="false">
      <c r="A3" s="9" t="s">
        <v>32</v>
      </c>
    </row>
    <row r="4" customFormat="false" ht="15" hidden="false" customHeight="true" outlineLevel="0" collapsed="false">
      <c r="A4" s="5" t="s">
        <v>33</v>
      </c>
      <c r="B4" s="5" t="s">
        <v>34</v>
      </c>
      <c r="C4" s="5" t="s">
        <v>35</v>
      </c>
      <c r="D4" s="5" t="s">
        <v>36</v>
      </c>
    </row>
    <row r="5" customFormat="false" ht="15" hidden="false" customHeight="true" outlineLevel="0" collapsed="false">
      <c r="A5" s="6" t="s">
        <v>37</v>
      </c>
      <c r="B5" s="13" t="n">
        <v>1250</v>
      </c>
      <c r="C5" s="13" t="n">
        <v>3500</v>
      </c>
      <c r="D5" s="13" t="n">
        <v>1250</v>
      </c>
    </row>
    <row r="6" customFormat="false" ht="15" hidden="false" customHeight="true" outlineLevel="0" collapsed="false">
      <c r="A6" s="6" t="s">
        <v>38</v>
      </c>
      <c r="B6" s="14" t="n">
        <v>0.3</v>
      </c>
      <c r="C6" s="14" t="n">
        <v>0.25</v>
      </c>
      <c r="D6" s="14" t="n">
        <v>0.4</v>
      </c>
    </row>
    <row r="7" customFormat="false" ht="15" hidden="false" customHeight="true" outlineLevel="0" collapsed="false">
      <c r="A7" s="6" t="s">
        <v>39</v>
      </c>
      <c r="B7" s="13" t="n">
        <v>1</v>
      </c>
      <c r="C7" s="13" t="n">
        <v>1</v>
      </c>
      <c r="D7" s="13" t="n">
        <v>1</v>
      </c>
    </row>
    <row r="8" customFormat="false" ht="15" hidden="false" customHeight="true" outlineLevel="0" collapsed="false">
      <c r="A8" s="6" t="s">
        <v>40</v>
      </c>
      <c r="B8" s="14" t="n">
        <v>0</v>
      </c>
      <c r="C8" s="14" t="n">
        <v>0.1</v>
      </c>
      <c r="D8" s="14" t="n">
        <v>0.15</v>
      </c>
    </row>
    <row r="9" customFormat="false" ht="15" hidden="false" customHeight="true" outlineLevel="0" collapsed="false">
      <c r="A9" s="6" t="s">
        <v>41</v>
      </c>
      <c r="B9" s="13" t="n">
        <v>0</v>
      </c>
      <c r="C9" s="13" t="n">
        <v>500</v>
      </c>
      <c r="D9" s="13" t="n">
        <v>0</v>
      </c>
    </row>
    <row r="10" customFormat="false" ht="15" hidden="false" customHeight="true" outlineLevel="0" collapsed="false">
      <c r="A10" s="6" t="s">
        <v>42</v>
      </c>
      <c r="B10" s="13" t="n">
        <v>0</v>
      </c>
      <c r="C10" s="13" t="n">
        <v>50</v>
      </c>
      <c r="D10" s="13" t="n">
        <v>50</v>
      </c>
    </row>
    <row r="12" customFormat="false" ht="15" hidden="false" customHeight="true" outlineLevel="0" collapsed="false">
      <c r="A12" s="9" t="s">
        <v>43</v>
      </c>
    </row>
    <row r="13" customFormat="false" ht="15" hidden="false" customHeight="true" outlineLevel="0" collapsed="false">
      <c r="A13" s="5" t="s">
        <v>44</v>
      </c>
      <c r="B13" s="5" t="s">
        <v>45</v>
      </c>
      <c r="C13" s="5" t="s">
        <v>46</v>
      </c>
      <c r="D13" s="5" t="s">
        <v>47</v>
      </c>
    </row>
    <row r="14" customFormat="false" ht="15" hidden="false" customHeight="true" outlineLevel="0" collapsed="false">
      <c r="A14" s="6" t="s">
        <v>48</v>
      </c>
      <c r="B14" s="13" t="n">
        <v>3000</v>
      </c>
      <c r="C14" s="13" t="n">
        <v>5000</v>
      </c>
      <c r="D14" s="13" t="n">
        <v>8000</v>
      </c>
    </row>
    <row r="15" customFormat="false" ht="15" hidden="false" customHeight="true" outlineLevel="0" collapsed="false">
      <c r="A15" s="6" t="s">
        <v>49</v>
      </c>
      <c r="B15" s="13" t="n">
        <v>2000</v>
      </c>
      <c r="C15" s="13" t="n">
        <v>4000</v>
      </c>
      <c r="D15" s="13" t="n">
        <v>6000</v>
      </c>
    </row>
    <row r="16" customFormat="false" ht="15" hidden="false" customHeight="true" outlineLevel="0" collapsed="false">
      <c r="A16" s="6" t="s">
        <v>27</v>
      </c>
      <c r="B16" s="15" t="n">
        <v>6</v>
      </c>
      <c r="C16" s="15" t="n">
        <v>10</v>
      </c>
      <c r="D16" s="15" t="n">
        <v>15</v>
      </c>
    </row>
    <row r="19" customFormat="false" ht="15" hidden="false" customHeight="true" outlineLevel="0" collapsed="false">
      <c r="A19" s="9" t="s">
        <v>50</v>
      </c>
    </row>
    <row r="20" customFormat="false" ht="15" hidden="false" customHeight="true" outlineLevel="0" collapsed="false">
      <c r="A20" s="5" t="s">
        <v>51</v>
      </c>
      <c r="B20" s="5" t="s">
        <v>52</v>
      </c>
      <c r="C20" s="5" t="s">
        <v>53</v>
      </c>
      <c r="D20" s="5" t="s">
        <v>54</v>
      </c>
    </row>
    <row r="21" customFormat="false" ht="15" hidden="false" customHeight="true" outlineLevel="0" collapsed="false">
      <c r="A21" s="6" t="s">
        <v>55</v>
      </c>
      <c r="B21" s="16" t="n">
        <f aca="false">B5</f>
        <v>1250</v>
      </c>
      <c r="C21" s="16" t="n">
        <f aca="false">C5</f>
        <v>3500</v>
      </c>
      <c r="D21" s="16" t="n">
        <f aca="false">D5</f>
        <v>1250</v>
      </c>
    </row>
    <row r="22" customFormat="false" ht="15" hidden="false" customHeight="true" outlineLevel="0" collapsed="false">
      <c r="A22" s="6" t="s">
        <v>56</v>
      </c>
      <c r="B22" s="16" t="n">
        <f aca="false">B14*B6</f>
        <v>900</v>
      </c>
      <c r="C22" s="16" t="n">
        <f aca="false">C14*C6</f>
        <v>1250</v>
      </c>
      <c r="D22" s="16" t="n">
        <f aca="false">D14*D6</f>
        <v>3200</v>
      </c>
    </row>
    <row r="23" customFormat="false" ht="15" hidden="false" customHeight="true" outlineLevel="0" collapsed="false">
      <c r="A23" s="6" t="s">
        <v>57</v>
      </c>
      <c r="B23" s="16" t="n">
        <f aca="false">B15*B7</f>
        <v>2000</v>
      </c>
      <c r="C23" s="16" t="n">
        <f aca="false">C15*C7</f>
        <v>4000</v>
      </c>
      <c r="D23" s="16" t="n">
        <f aca="false">D15*D7</f>
        <v>6000</v>
      </c>
    </row>
    <row r="24" customFormat="false" ht="15" hidden="false" customHeight="true" outlineLevel="0" collapsed="false">
      <c r="A24" s="6" t="s">
        <v>58</v>
      </c>
      <c r="B24" s="16" t="n">
        <f aca="false">B9+(B16*B10)</f>
        <v>0</v>
      </c>
      <c r="C24" s="16" t="n">
        <f aca="false">C9+(C16*C10)</f>
        <v>1000</v>
      </c>
      <c r="D24" s="16" t="n">
        <f aca="false">D9+(D16*D10)</f>
        <v>750</v>
      </c>
    </row>
    <row r="25" customFormat="false" ht="15" hidden="false" customHeight="true" outlineLevel="0" collapsed="false">
      <c r="A25" s="17" t="s">
        <v>59</v>
      </c>
      <c r="B25" s="18" t="n">
        <f aca="false">SUM(B21:B24)</f>
        <v>4150</v>
      </c>
      <c r="C25" s="18" t="n">
        <f aca="false">SUM(C21:C24)</f>
        <v>9750</v>
      </c>
      <c r="D25" s="18" t="n">
        <f aca="false">SUM(D21:D24)</f>
        <v>11200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5" hidden="false" customHeight="true" outlineLevel="0" collapsed="false">
      <c r="A1" s="2" t="s">
        <v>60</v>
      </c>
      <c r="B1" s="2"/>
      <c r="C1" s="2"/>
      <c r="D1" s="2"/>
    </row>
    <row r="3" customFormat="false" ht="15" hidden="false" customHeight="true" outlineLevel="0" collapsed="false">
      <c r="A3" s="9" t="s">
        <v>61</v>
      </c>
    </row>
    <row r="4" customFormat="false" ht="15" hidden="false" customHeight="true" outlineLevel="0" collapsed="false">
      <c r="A4" s="5" t="s">
        <v>33</v>
      </c>
      <c r="B4" s="5" t="s">
        <v>4</v>
      </c>
      <c r="C4" s="5" t="s">
        <v>5</v>
      </c>
    </row>
    <row r="5" customFormat="false" ht="15" hidden="false" customHeight="true" outlineLevel="0" collapsed="false">
      <c r="A5" s="6" t="s">
        <v>62</v>
      </c>
      <c r="B5" s="19" t="n">
        <v>0.35</v>
      </c>
      <c r="C5" s="6" t="s">
        <v>63</v>
      </c>
    </row>
    <row r="6" customFormat="false" ht="15" hidden="false" customHeight="true" outlineLevel="0" collapsed="false">
      <c r="A6" s="6" t="s">
        <v>64</v>
      </c>
      <c r="B6" s="19" t="n">
        <v>0.7</v>
      </c>
      <c r="C6" s="6" t="s">
        <v>65</v>
      </c>
    </row>
    <row r="7" customFormat="false" ht="15" hidden="false" customHeight="true" outlineLevel="0" collapsed="false">
      <c r="A7" s="6" t="s">
        <v>66</v>
      </c>
      <c r="B7" s="19" t="n">
        <v>0.17</v>
      </c>
      <c r="C7" s="6" t="s">
        <v>67</v>
      </c>
    </row>
    <row r="8" customFormat="false" ht="15" hidden="false" customHeight="true" outlineLevel="0" collapsed="false">
      <c r="A8" s="6" t="s">
        <v>68</v>
      </c>
      <c r="B8" s="19" t="n">
        <v>0.35</v>
      </c>
      <c r="C8" s="6" t="s">
        <v>69</v>
      </c>
    </row>
    <row r="9" customFormat="false" ht="15" hidden="false" customHeight="true" outlineLevel="0" collapsed="false">
      <c r="A9" s="6" t="s">
        <v>70</v>
      </c>
      <c r="B9" s="19" t="n">
        <v>0.35</v>
      </c>
      <c r="C9" s="6" t="s">
        <v>71</v>
      </c>
    </row>
    <row r="10" customFormat="false" ht="15" hidden="false" customHeight="true" outlineLevel="0" collapsed="false">
      <c r="A10" s="6" t="s">
        <v>72</v>
      </c>
      <c r="B10" s="20" t="n">
        <v>10000</v>
      </c>
      <c r="C10" s="6" t="s">
        <v>73</v>
      </c>
    </row>
    <row r="11" customFormat="false" ht="15" hidden="false" customHeight="true" outlineLevel="0" collapsed="false">
      <c r="A11" s="6" t="s">
        <v>74</v>
      </c>
      <c r="B11" s="19" t="n">
        <v>0.005</v>
      </c>
      <c r="C11" s="6" t="s">
        <v>75</v>
      </c>
    </row>
    <row r="12" customFormat="false" ht="15" hidden="false" customHeight="true" outlineLevel="0" collapsed="false">
      <c r="A12" s="6" t="s">
        <v>76</v>
      </c>
      <c r="B12" s="20" t="n">
        <v>500</v>
      </c>
      <c r="C12" s="6" t="s">
        <v>77</v>
      </c>
    </row>
    <row r="15" customFormat="false" ht="15" hidden="false" customHeight="true" outlineLevel="0" collapsed="false">
      <c r="A15" s="9" t="s">
        <v>78</v>
      </c>
    </row>
    <row r="16" customFormat="false" ht="15" hidden="false" customHeight="true" outlineLevel="0" collapsed="false">
      <c r="A16" s="5" t="s">
        <v>79</v>
      </c>
      <c r="B16" s="5" t="s">
        <v>45</v>
      </c>
      <c r="C16" s="5" t="s">
        <v>47</v>
      </c>
    </row>
    <row r="17" customFormat="false" ht="15" hidden="false" customHeight="true" outlineLevel="0" collapsed="false">
      <c r="A17" s="6" t="s">
        <v>80</v>
      </c>
      <c r="B17" s="16" t="n">
        <f aca="false">((B6-B5)*17/3)*B12</f>
        <v>991.666666666667</v>
      </c>
      <c r="C17" s="16" t="n">
        <f aca="false">((B6-B5)*17/3)*B12*1.5</f>
        <v>1487.5</v>
      </c>
    </row>
    <row r="18" customFormat="false" ht="15" hidden="false" customHeight="true" outlineLevel="0" collapsed="false">
      <c r="A18" s="6" t="s">
        <v>81</v>
      </c>
      <c r="B18" s="16" t="n">
        <f aca="false">((B8-B7)*98)*0.6*B12</f>
        <v>5292</v>
      </c>
      <c r="C18" s="16" t="n">
        <f aca="false">((B8-B7)*98)*0.8*B12</f>
        <v>7056</v>
      </c>
    </row>
    <row r="19" customFormat="false" ht="15" hidden="false" customHeight="true" outlineLevel="0" collapsed="false">
      <c r="A19" s="6" t="s">
        <v>82</v>
      </c>
      <c r="B19" s="16" t="n">
        <f aca="false">25870/3*B9</f>
        <v>3018.16666666667</v>
      </c>
      <c r="C19" s="16" t="n">
        <f aca="false">25870/3*0.5</f>
        <v>4311.66666666667</v>
      </c>
    </row>
    <row r="20" customFormat="false" ht="15" hidden="false" customHeight="true" outlineLevel="0" collapsed="false">
      <c r="A20" s="6" t="s">
        <v>83</v>
      </c>
      <c r="B20" s="16" t="n">
        <f aca="false">B10*B11*B12</f>
        <v>25000</v>
      </c>
      <c r="C20" s="16" t="n">
        <f aca="false">B10*0.01*B12</f>
        <v>50000</v>
      </c>
    </row>
    <row r="21" customFormat="false" ht="15" hidden="false" customHeight="true" outlineLevel="0" collapsed="false">
      <c r="A21" s="17" t="s">
        <v>84</v>
      </c>
      <c r="B21" s="18" t="n">
        <f aca="false">SUM(B17:B20)</f>
        <v>34301.8333333333</v>
      </c>
      <c r="C21" s="18" t="n">
        <f aca="false">SUM(C17:C20)</f>
        <v>62855.1666666667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cols>
    <col collapsed="false" customWidth="true" hidden="false" outlineLevel="0" max="1" min="1" style="1" width="30.02"/>
    <col collapsed="false" customWidth="true" hidden="false" outlineLevel="0" max="5" min="2" style="1" width="15"/>
  </cols>
  <sheetData>
    <row r="1" customFormat="false" ht="15" hidden="false" customHeight="true" outlineLevel="0" collapsed="false">
      <c r="A1" s="2" t="s">
        <v>85</v>
      </c>
      <c r="B1" s="2"/>
      <c r="C1" s="2"/>
      <c r="D1" s="2"/>
      <c r="E1" s="2"/>
    </row>
    <row r="3" customFormat="false" ht="15" hidden="false" customHeight="true" outlineLevel="0" collapsed="false">
      <c r="A3" s="9" t="s">
        <v>86</v>
      </c>
    </row>
    <row r="4" customFormat="false" ht="15" hidden="false" customHeight="true" outlineLevel="0" collapsed="false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</row>
    <row r="5" customFormat="false" ht="15" hidden="false" customHeight="true" outlineLevel="0" collapsed="false">
      <c r="A5" s="6" t="s">
        <v>92</v>
      </c>
      <c r="B5" s="16" t="n">
        <v>777</v>
      </c>
      <c r="C5" s="6" t="n">
        <v>54</v>
      </c>
      <c r="D5" s="21" t="n">
        <f aca="false">B5/B10</f>
        <v>0.00706832716257153</v>
      </c>
      <c r="E5" s="16" t="n">
        <f aca="false">B5/C5</f>
        <v>14.3888888888889</v>
      </c>
    </row>
    <row r="6" customFormat="false" ht="15" hidden="false" customHeight="true" outlineLevel="0" collapsed="false">
      <c r="A6" s="6" t="s">
        <v>93</v>
      </c>
      <c r="B6" s="16" t="n">
        <v>7868</v>
      </c>
      <c r="C6" s="6" t="n">
        <v>44</v>
      </c>
      <c r="D6" s="21" t="n">
        <f aca="false">B6/B10</f>
        <v>0.0715747723489225</v>
      </c>
      <c r="E6" s="16" t="n">
        <f aca="false">B6/C6</f>
        <v>178.818181818182</v>
      </c>
    </row>
    <row r="7" customFormat="false" ht="15" hidden="false" customHeight="true" outlineLevel="0" collapsed="false">
      <c r="A7" s="6" t="s">
        <v>94</v>
      </c>
      <c r="B7" s="16" t="n">
        <v>21303</v>
      </c>
      <c r="C7" s="6" t="n">
        <v>44</v>
      </c>
      <c r="D7" s="21" t="n">
        <f aca="false">B7/B10</f>
        <v>0.193792243943708</v>
      </c>
      <c r="E7" s="16" t="n">
        <f aca="false">B7/C7</f>
        <v>484.159090909091</v>
      </c>
    </row>
    <row r="8" customFormat="false" ht="15" hidden="false" customHeight="true" outlineLevel="0" collapsed="false">
      <c r="A8" s="6" t="s">
        <v>95</v>
      </c>
      <c r="B8" s="16" t="n">
        <v>30229</v>
      </c>
      <c r="C8" s="6" t="n">
        <v>47</v>
      </c>
      <c r="D8" s="21" t="n">
        <f aca="false">B8/B10</f>
        <v>0.274991585324806</v>
      </c>
      <c r="E8" s="16" t="n">
        <f aca="false">B8/C8</f>
        <v>643.170212765957</v>
      </c>
    </row>
    <row r="9" customFormat="false" ht="15" hidden="false" customHeight="true" outlineLevel="0" collapsed="false">
      <c r="A9" s="6" t="s">
        <v>96</v>
      </c>
      <c r="B9" s="16" t="n">
        <v>49750</v>
      </c>
      <c r="C9" s="6" t="n">
        <v>6</v>
      </c>
      <c r="D9" s="21" t="n">
        <f aca="false">B9/B10</f>
        <v>0.452573071219991</v>
      </c>
      <c r="E9" s="16" t="n">
        <f aca="false">B9/C9</f>
        <v>8291.66666666667</v>
      </c>
    </row>
    <row r="10" customFormat="false" ht="15" hidden="false" customHeight="true" outlineLevel="0" collapsed="false">
      <c r="A10" s="17" t="s">
        <v>97</v>
      </c>
      <c r="B10" s="18" t="n">
        <f aca="false">SUM(B5:B9)</f>
        <v>109927</v>
      </c>
      <c r="C10" s="17" t="n">
        <f aca="false">SUM(C5:C9)</f>
        <v>195</v>
      </c>
      <c r="D10" s="22" t="n">
        <f aca="false">SUM(D5:D9)</f>
        <v>1</v>
      </c>
      <c r="E10" s="18" t="n">
        <f aca="false">B10/C10</f>
        <v>563.728205128205</v>
      </c>
    </row>
    <row r="13" customFormat="false" ht="15" hidden="false" customHeight="true" outlineLevel="0" collapsed="false">
      <c r="A13" s="9" t="s">
        <v>98</v>
      </c>
    </row>
    <row r="14" customFormat="false" ht="15" hidden="false" customHeight="true" outlineLevel="0" collapsed="false">
      <c r="A14" s="5" t="s">
        <v>99</v>
      </c>
      <c r="B14" s="5" t="s">
        <v>100</v>
      </c>
      <c r="C14" s="5" t="s">
        <v>20</v>
      </c>
      <c r="D14" s="5" t="s">
        <v>101</v>
      </c>
    </row>
    <row r="15" customFormat="false" ht="15" hidden="false" customHeight="true" outlineLevel="0" collapsed="false">
      <c r="A15" s="6" t="s">
        <v>102</v>
      </c>
      <c r="B15" s="16" t="n">
        <v>33936</v>
      </c>
      <c r="C15" s="6" t="n">
        <v>59</v>
      </c>
      <c r="D15" s="6" t="s">
        <v>23</v>
      </c>
    </row>
    <row r="16" customFormat="false" ht="15" hidden="false" customHeight="true" outlineLevel="0" collapsed="false">
      <c r="A16" s="6" t="s">
        <v>103</v>
      </c>
      <c r="B16" s="16" t="n">
        <v>8885</v>
      </c>
      <c r="C16" s="6" t="n">
        <v>40</v>
      </c>
      <c r="D16" s="23" t="n">
        <f aca="false">IF(B15=0,0,(B16-B15)/B15)</f>
        <v>-0.738183639792551</v>
      </c>
    </row>
    <row r="17" customFormat="false" ht="15" hidden="false" customHeight="true" outlineLevel="0" collapsed="false">
      <c r="A17" s="6" t="s">
        <v>104</v>
      </c>
      <c r="B17" s="16" t="n">
        <v>2031</v>
      </c>
      <c r="C17" s="6" t="n">
        <v>19</v>
      </c>
      <c r="D17" s="23" t="n">
        <f aca="false">(B16-B15)/B15</f>
        <v>-0.738183639792551</v>
      </c>
    </row>
    <row r="20" customFormat="false" ht="15" hidden="false" customHeight="true" outlineLevel="0" collapsed="false">
      <c r="A20" s="9" t="s">
        <v>105</v>
      </c>
    </row>
    <row r="21" customFormat="false" ht="15" hidden="false" customHeight="true" outlineLevel="0" collapsed="false">
      <c r="A21" s="5" t="s">
        <v>106</v>
      </c>
      <c r="B21" s="5" t="s">
        <v>107</v>
      </c>
      <c r="C21" s="5" t="s">
        <v>108</v>
      </c>
      <c r="D21" s="5" t="s">
        <v>109</v>
      </c>
    </row>
    <row r="22" customFormat="false" ht="15" hidden="false" customHeight="true" outlineLevel="0" collapsed="false">
      <c r="A22" s="6" t="s">
        <v>110</v>
      </c>
      <c r="B22" s="6" t="n">
        <v>7</v>
      </c>
      <c r="C22" s="16" t="n">
        <v>483</v>
      </c>
      <c r="D22" s="16" t="n">
        <v>3382</v>
      </c>
    </row>
    <row r="23" customFormat="false" ht="15" hidden="false" customHeight="true" outlineLevel="0" collapsed="false">
      <c r="A23" s="6" t="s">
        <v>111</v>
      </c>
      <c r="B23" s="6" t="n">
        <v>10</v>
      </c>
      <c r="C23" s="16" t="n">
        <v>650</v>
      </c>
      <c r="D23" s="16" t="n">
        <f aca="false">B23*C23</f>
        <v>6500</v>
      </c>
    </row>
    <row r="24" customFormat="false" ht="15" hidden="false" customHeight="true" outlineLevel="0" collapsed="false">
      <c r="A24" s="6" t="s">
        <v>112</v>
      </c>
      <c r="B24" s="6" t="n">
        <v>2</v>
      </c>
      <c r="C24" s="16" t="n">
        <v>997</v>
      </c>
      <c r="D24" s="16" t="n">
        <f aca="false">B24*C24</f>
        <v>1994</v>
      </c>
    </row>
    <row r="25" customFormat="false" ht="15" hidden="false" customHeight="true" outlineLevel="0" collapsed="false">
      <c r="A25" s="17" t="s">
        <v>113</v>
      </c>
      <c r="B25" s="17" t="n">
        <f aca="false">B22+B23+B24</f>
        <v>19</v>
      </c>
      <c r="C25" s="18"/>
      <c r="D25" s="18" t="n">
        <f aca="false">D22+D23+D24</f>
        <v>11876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2026-01-30T20:39:46Z</dcterms:created>
  <dc:creator>openpyxl</dc:creator>
  <dc:description/>
  <dc:language>en-US</dc:language>
  <cp:lastModifiedBy/>
  <dcterms:modified xsi:type="dcterms:W3CDTF">2026-01-30T20:40:37Z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