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nel Analysis" sheetId="1" state="visible" r:id="rId2"/>
    <sheet name="Unit Economics" sheetId="2" state="visible" r:id="rId3"/>
    <sheet name="Scenario Projections" sheetId="3" state="visible" r:id="rId4"/>
    <sheet name="ROI Calculator" sheetId="4" state="visible" r:id="rId5"/>
    <sheet name="Industry Benchmark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<sst xmlns="http://schemas.openxmlformats.org/spreadsheetml/2006/main" count="214" uniqueCount="172">
  <si>
    <t xml:space="preserve">GHL MASTERY - CORRECTED FUNNEL ANALYSIS</t>
  </si>
  <si>
    <t xml:space="preserve">Period: Oct 30, 2025 - Jan 30, 2026 (90 Days)</t>
  </si>
  <si>
    <t xml:space="preserve">Source: All from Paid Ads</t>
  </si>
  <si>
    <t xml:space="preserve">INPUTS (Blue = Editable)</t>
  </si>
  <si>
    <t xml:space="preserve">Metric</t>
  </si>
  <si>
    <t xml:space="preserve">Value</t>
  </si>
  <si>
    <t xml:space="preserve">Notes</t>
  </si>
  <si>
    <t xml:space="preserve">Ad Spend (90 days)</t>
  </si>
  <si>
    <t xml:space="preserve">Estimate - confirm with Adam</t>
  </si>
  <si>
    <t xml:space="preserve">Leads Generated</t>
  </si>
  <si>
    <t xml:space="preserve">From GHL Dashboard</t>
  </si>
  <si>
    <t xml:space="preserve">Tripwire Purchases (Ads)</t>
  </si>
  <si>
    <t xml:space="preserve">From Stripe CSV</t>
  </si>
  <si>
    <t xml:space="preserve">Tripwire Purchases (Database)</t>
  </si>
  <si>
    <t xml:space="preserve">Adam confirmed</t>
  </si>
  <si>
    <t xml:space="preserve">Appointments Booked</t>
  </si>
  <si>
    <t xml:space="preserve">From GHL Calendar</t>
  </si>
  <si>
    <t xml:space="preserve">Appointments Showed</t>
  </si>
  <si>
    <t xml:space="preserve">No-Shows</t>
  </si>
  <si>
    <t xml:space="preserve">Cancelled</t>
  </si>
  <si>
    <t xml:space="preserve">Assumed Close Rate</t>
  </si>
  <si>
    <t xml:space="preserve">Industry avg - needs confirmation</t>
  </si>
  <si>
    <t xml:space="preserve">CALCULATED METRICS</t>
  </si>
  <si>
    <t xml:space="preserve">Cost Per Lead</t>
  </si>
  <si>
    <t xml:space="preserve">$</t>
  </si>
  <si>
    <t xml:space="preserve">Tripwire Conversion (Ads)</t>
  </si>
  <si>
    <t xml:space="preserve">%</t>
  </si>
  <si>
    <t xml:space="preserve">Lead to Appointment</t>
  </si>
  <si>
    <t xml:space="preserve">Show Rate (excl cancelled)</t>
  </si>
  <si>
    <t xml:space="preserve">Show Rate (all booked)</t>
  </si>
  <si>
    <t xml:space="preserve">Cost Per Appointment</t>
  </si>
  <si>
    <t xml:space="preserve">Cost Per Show</t>
  </si>
  <si>
    <t xml:space="preserve">Estimated Closes</t>
  </si>
  <si>
    <t xml:space="preserve">#</t>
  </si>
  <si>
    <t xml:space="preserve">Cost Per Acquisition (CAC)</t>
  </si>
  <si>
    <t xml:space="preserve">BENCHMARK COMPARISON</t>
  </si>
  <si>
    <t xml:space="preserve">GHL Mastery</t>
  </si>
  <si>
    <t xml:space="preserve">Industry Avg</t>
  </si>
  <si>
    <t xml:space="preserve">Industry Top</t>
  </si>
  <si>
    <t xml:space="preserve">Status</t>
  </si>
  <si>
    <t xml:space="preserve">Lead → Appointment</t>
  </si>
  <si>
    <t xml:space="preserve">3-5%</t>
  </si>
  <si>
    <t xml:space="preserve">8-10%</t>
  </si>
  <si>
    <t xml:space="preserve">Show Rate</t>
  </si>
  <si>
    <t xml:space="preserve">60-75%</t>
  </si>
  <si>
    <t xml:space="preserve">80-95%</t>
  </si>
  <si>
    <t xml:space="preserve">$50-85</t>
  </si>
  <si>
    <t xml:space="preserve">$20-35</t>
  </si>
  <si>
    <t xml:space="preserve">UNIT ECONOMICS ANALYSIS</t>
  </si>
  <si>
    <t xml:space="preserve">REVENUE DATA (90 Days)</t>
  </si>
  <si>
    <t xml:space="preserve">Category</t>
  </si>
  <si>
    <t xml:space="preserve">Revenue</t>
  </si>
  <si>
    <t xml:space="preserve">Transactions</t>
  </si>
  <si>
    <t xml:space="preserve">% of Total</t>
  </si>
  <si>
    <t xml:space="preserve">Recurring Subscriptions</t>
  </si>
  <si>
    <t xml:space="preserve">VIP $5K Sales</t>
  </si>
  <si>
    <t xml:space="preserve">Invoice/Custom Work</t>
  </si>
  <si>
    <t xml:space="preserve">Low-ticket/Tripwire</t>
  </si>
  <si>
    <t xml:space="preserve">TOTAL</t>
  </si>
  <si>
    <t xml:space="preserve">ESTIMATED MRR BREAKDOWN</t>
  </si>
  <si>
    <t xml:space="preserve">Product</t>
  </si>
  <si>
    <t xml:space="preserve">Rate</t>
  </si>
  <si>
    <t xml:space="preserve">Est. Customers</t>
  </si>
  <si>
    <t xml:space="preserve">Monthly Value</t>
  </si>
  <si>
    <t xml:space="preserve">Micro Snapshots</t>
  </si>
  <si>
    <t xml:space="preserve">AOF Course</t>
  </si>
  <si>
    <t xml:space="preserve">Coaching Tier</t>
  </si>
  <si>
    <t xml:space="preserve">VIP Coaching</t>
  </si>
  <si>
    <t xml:space="preserve">Premium</t>
  </si>
  <si>
    <t xml:space="preserve">Legacy VA</t>
  </si>
  <si>
    <t xml:space="preserve">Current VA</t>
  </si>
  <si>
    <t xml:space="preserve">High-tier</t>
  </si>
  <si>
    <t xml:space="preserve">TOTAL MRR</t>
  </si>
  <si>
    <t xml:space="preserve">LIFETIME VALUE (LTV)</t>
  </si>
  <si>
    <t xml:space="preserve">LTV - Coaching</t>
  </si>
  <si>
    <t xml:space="preserve">Monthly rate</t>
  </si>
  <si>
    <t xml:space="preserve">Avg months</t>
  </si>
  <si>
    <t xml:space="preserve">LTV - VA</t>
  </si>
  <si>
    <t xml:space="preserve">LTV - Blended</t>
  </si>
  <si>
    <t xml:space="preserve">LTV:CAC RATIO</t>
  </si>
  <si>
    <t xml:space="preserve">CAC (from Funnel Analysis)</t>
  </si>
  <si>
    <t xml:space="preserve">LTV:CAC Ratio</t>
  </si>
  <si>
    <t xml:space="preserve">90-DAY SCENARIO PROJECTIONS</t>
  </si>
  <si>
    <t xml:space="preserve">SCENARIO ASSUMPTIONS</t>
  </si>
  <si>
    <t xml:space="preserve">Assumption</t>
  </si>
  <si>
    <t xml:space="preserve">Conservative</t>
  </si>
  <si>
    <t xml:space="preserve">Moderate</t>
  </si>
  <si>
    <t xml:space="preserve">Aggressive</t>
  </si>
  <si>
    <t xml:space="preserve">Month 3 Ad Spend</t>
  </si>
  <si>
    <t xml:space="preserve">CPL (maintained)</t>
  </si>
  <si>
    <t xml:space="preserve">Booking Rate</t>
  </si>
  <si>
    <t xml:space="preserve">Show Rate (improved)</t>
  </si>
  <si>
    <t xml:space="preserve">Close Rate</t>
  </si>
  <si>
    <t xml:space="preserve">Avg Sale Value</t>
  </si>
  <si>
    <t xml:space="preserve">Failed Payment Recovery</t>
  </si>
  <si>
    <t xml:space="preserve">Database Revenue (one-time)</t>
  </si>
  <si>
    <t xml:space="preserve">MONTH 3 PROJECTIONS</t>
  </si>
  <si>
    <t xml:space="preserve">Shows</t>
  </si>
  <si>
    <t xml:space="preserve">Sales</t>
  </si>
  <si>
    <t xml:space="preserve">New MRR</t>
  </si>
  <si>
    <t xml:space="preserve">90-DAY TOTAL IMPACT</t>
  </si>
  <si>
    <t xml:space="preserve">Revenue Source</t>
  </si>
  <si>
    <t xml:space="preserve">New MRR Added (3 months)</t>
  </si>
  <si>
    <t xml:space="preserve">Database Revenue</t>
  </si>
  <si>
    <t xml:space="preserve">TOTAL NEW REVENUE</t>
  </si>
  <si>
    <t xml:space="preserve">ENGAGEMENT ROI CALCULATOR</t>
  </si>
  <si>
    <t xml:space="preserve">ENGAGEMENT PRICING</t>
  </si>
  <si>
    <t xml:space="preserve">Base Investment</t>
  </si>
  <si>
    <t xml:space="preserve">Performance Bonus</t>
  </si>
  <si>
    <t xml:space="preserve">Total (if bonus achieved)</t>
  </si>
  <si>
    <t xml:space="preserve">PROJECTED RETURNS</t>
  </si>
  <si>
    <t xml:space="preserve">Timeframe</t>
  </si>
  <si>
    <t xml:space="preserve">90-Day Revenue Increase</t>
  </si>
  <si>
    <t xml:space="preserve">12-Month Revenue Increase</t>
  </si>
  <si>
    <t xml:space="preserve">ROI (vs Base Investment)</t>
  </si>
  <si>
    <t xml:space="preserve">ROI (vs Total Investment)</t>
  </si>
  <si>
    <t xml:space="preserve">PAYBACK PERIOD</t>
  </si>
  <si>
    <t xml:space="preserve">Monthly Revenue Increase</t>
  </si>
  <si>
    <t xml:space="preserve">Months to Payback (Base)</t>
  </si>
  <si>
    <t xml:space="preserve">INDUSTRY BENCHMARKS (CITED)</t>
  </si>
  <si>
    <t xml:space="preserve">Average</t>
  </si>
  <si>
    <t xml:space="preserve">Top Performer</t>
  </si>
  <si>
    <t xml:space="preserve">Source</t>
  </si>
  <si>
    <t xml:space="preserve">2%</t>
  </si>
  <si>
    <t xml:space="preserve">Intelemark, Martal Group 2024</t>
  </si>
  <si>
    <t xml:space="preserve">Appointment Show Rate</t>
  </si>
  <si>
    <t xml:space="preserve">60%</t>
  </si>
  <si>
    <t xml:space="preserve">70-75%</t>
  </si>
  <si>
    <t xml:space="preserve">85-95%</t>
  </si>
  <si>
    <t xml:space="preserve">Roezan, Close.com</t>
  </si>
  <si>
    <t xml:space="preserve">Sales Close Rate</t>
  </si>
  <si>
    <t xml:space="preserve">15%</t>
  </si>
  <si>
    <t xml:space="preserve">20-25%</t>
  </si>
  <si>
    <t xml:space="preserve">30-40%</t>
  </si>
  <si>
    <t xml:space="preserve">Arrows.to 2024</t>
  </si>
  <si>
    <t xml:space="preserve">Facebook CPL (B2B)</t>
  </si>
  <si>
    <t xml:space="preserve">$100+</t>
  </si>
  <si>
    <t xml:space="preserve">WordStream 2024</t>
  </si>
  <si>
    <t xml:space="preserve">3x</t>
  </si>
  <si>
    <t xml:space="preserve">3.2x</t>
  </si>
  <si>
    <t xml:space="preserve">5x+</t>
  </si>
  <si>
    <t xml:space="preserve">Phoenix Strategy Group</t>
  </si>
  <si>
    <t xml:space="preserve">Tripwire Conversion</t>
  </si>
  <si>
    <t xml:space="preserve">1%</t>
  </si>
  <si>
    <t xml:space="preserve">2-3%</t>
  </si>
  <si>
    <t xml:space="preserve">5-10%</t>
  </si>
  <si>
    <t xml:space="preserve">Data Driven Marketing</t>
  </si>
  <si>
    <t xml:space="preserve">Database Reactivation</t>
  </si>
  <si>
    <t xml:space="preserve">10-15%</t>
  </si>
  <si>
    <t xml:space="preserve">20-30%</t>
  </si>
  <si>
    <t xml:space="preserve">AgencyAnalytics, Klaviyo</t>
  </si>
  <si>
    <t xml:space="preserve">45-50%</t>
  </si>
  <si>
    <t xml:space="preserve">60-70%</t>
  </si>
  <si>
    <t xml:space="preserve">75-85%</t>
  </si>
  <si>
    <t xml:space="preserve">Churnkey 2025, ProsperStack</t>
  </si>
  <si>
    <t xml:space="preserve">GHL MASTERY vs BENCHMARKS</t>
  </si>
  <si>
    <t xml:space="preserve">vs Average</t>
  </si>
  <si>
    <t xml:space="preserve">Percentile</t>
  </si>
  <si>
    <t xml:space="preserve">19.3%</t>
  </si>
  <si>
    <t xml:space="preserve">+290% to +540%</t>
  </si>
  <si>
    <t xml:space="preserve">Top 1%</t>
  </si>
  <si>
    <t xml:space="preserve">59-67%</t>
  </si>
  <si>
    <t xml:space="preserve">At par</t>
  </si>
  <si>
    <t xml:space="preserve">50th</t>
  </si>
  <si>
    <t xml:space="preserve">$6.30</t>
  </si>
  <si>
    <t xml:space="preserve">-85% to -93%</t>
  </si>
  <si>
    <t xml:space="preserve">Top 5%</t>
  </si>
  <si>
    <t xml:space="preserve">15.8x</t>
  </si>
  <si>
    <t xml:space="preserve">+394%</t>
  </si>
  <si>
    <t xml:space="preserve">14%</t>
  </si>
  <si>
    <t xml:space="preserve">+367% to +600%</t>
  </si>
  <si>
    <t xml:space="preserve">Top 10%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</si>
</sst>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\$#,##0"/>
    <numFmt numFmtId="167" formatCode="0.0%"/>
    <numFmt numFmtId="168" formatCode="\$#,##0.00"/>
    <numFmt numFmtId="169" formatCode="0.0\x"/>
    <numFmt numFmtId="170" formatCode="#,##0"/>
    <numFmt numFmtId="171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F99"/>
        <bgColor rgb="FFE8F5E9"/>
      </patternFill>
    </fill>
    <fill>
      <patternFill patternType="solid">
        <fgColor rgb="FFE8F5E9"/>
        <bgColor rgb="FFFFFFFF"/>
      </patternFill>
    </fill>
    <fill>
      <patternFill patternType="solid">
        <fgColor rgb="FFD4A574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A574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15"/>
    <col collapsed="false" customWidth="true" hidden="false" outlineLevel="0" max="3" min="3" style="0" width="3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</row>
    <row r="7" customFormat="false" ht="15" hidden="false" customHeight="false" outlineLevel="0" collapsed="false">
      <c r="A7" s="0" t="s">
        <v>7</v>
      </c>
      <c r="B7" s="4" t="n">
        <v>1500</v>
      </c>
      <c r="C7" s="0" t="s">
        <v>8</v>
      </c>
    </row>
    <row r="8" customFormat="false" ht="15" hidden="false" customHeight="false" outlineLevel="0" collapsed="false">
      <c r="A8" s="0" t="s">
        <v>9</v>
      </c>
      <c r="B8" s="4" t="n">
        <v>238</v>
      </c>
      <c r="C8" s="0" t="s">
        <v>10</v>
      </c>
    </row>
    <row r="9" customFormat="false" ht="15" hidden="false" customHeight="false" outlineLevel="0" collapsed="false">
      <c r="A9" s="0" t="s">
        <v>11</v>
      </c>
      <c r="B9" s="4" t="n">
        <v>33</v>
      </c>
      <c r="C9" s="0" t="s">
        <v>12</v>
      </c>
    </row>
    <row r="10" customFormat="false" ht="15" hidden="false" customHeight="false" outlineLevel="0" collapsed="false">
      <c r="A10" s="0" t="s">
        <v>13</v>
      </c>
      <c r="B10" s="4" t="n">
        <v>84</v>
      </c>
      <c r="C10" s="0" t="s">
        <v>14</v>
      </c>
    </row>
    <row r="11" customFormat="false" ht="15" hidden="false" customHeight="false" outlineLevel="0" collapsed="false">
      <c r="A11" s="0" t="s">
        <v>15</v>
      </c>
      <c r="B11" s="4" t="n">
        <v>46</v>
      </c>
      <c r="C11" s="0" t="s">
        <v>16</v>
      </c>
    </row>
    <row r="12" customFormat="false" ht="15" hidden="false" customHeight="false" outlineLevel="0" collapsed="false">
      <c r="A12" s="0" t="s">
        <v>17</v>
      </c>
      <c r="B12" s="4" t="n">
        <v>22</v>
      </c>
      <c r="C12" s="0" t="s">
        <v>10</v>
      </c>
    </row>
    <row r="13" customFormat="false" ht="15" hidden="false" customHeight="false" outlineLevel="0" collapsed="false">
      <c r="A13" s="0" t="s">
        <v>18</v>
      </c>
      <c r="B13" s="4" t="n">
        <v>11</v>
      </c>
      <c r="C13" s="0" t="s">
        <v>10</v>
      </c>
    </row>
    <row r="14" customFormat="false" ht="15" hidden="false" customHeight="false" outlineLevel="0" collapsed="false">
      <c r="A14" s="0" t="s">
        <v>19</v>
      </c>
      <c r="B14" s="4" t="n">
        <v>9</v>
      </c>
      <c r="C14" s="0" t="s">
        <v>10</v>
      </c>
    </row>
    <row r="15" customFormat="false" ht="15" hidden="false" customHeight="false" outlineLevel="0" collapsed="false">
      <c r="A15" s="0" t="s">
        <v>20</v>
      </c>
      <c r="B15" s="4" t="n">
        <v>0.3</v>
      </c>
      <c r="C15" s="0" t="s">
        <v>21</v>
      </c>
    </row>
    <row r="18" customFormat="false" ht="15" hidden="false" customHeight="false" outlineLevel="0" collapsed="false">
      <c r="A18" s="2" t="s">
        <v>22</v>
      </c>
    </row>
    <row r="19" customFormat="false" ht="15" hidden="false" customHeight="false" outlineLevel="0" collapsed="false">
      <c r="A19" s="0" t="s">
        <v>23</v>
      </c>
      <c r="B19" s="5" t="n">
        <f aca="false">B7/B8</f>
        <v>6.30252100840336</v>
      </c>
      <c r="C19" s="0" t="s">
        <v>24</v>
      </c>
    </row>
    <row r="20" customFormat="false" ht="15" hidden="false" customHeight="false" outlineLevel="0" collapsed="false">
      <c r="A20" s="0" t="s">
        <v>25</v>
      </c>
      <c r="B20" s="5" t="n">
        <f aca="false">B9/B8</f>
        <v>0.138655462184874</v>
      </c>
      <c r="C20" s="0" t="s">
        <v>26</v>
      </c>
    </row>
    <row r="21" customFormat="false" ht="15" hidden="false" customHeight="false" outlineLevel="0" collapsed="false">
      <c r="A21" s="0" t="s">
        <v>27</v>
      </c>
      <c r="B21" s="5" t="n">
        <f aca="false">B11/B8</f>
        <v>0.19327731092437</v>
      </c>
      <c r="C21" s="0" t="s">
        <v>26</v>
      </c>
    </row>
    <row r="22" customFormat="false" ht="15" hidden="false" customHeight="false" outlineLevel="0" collapsed="false">
      <c r="A22" s="0" t="s">
        <v>28</v>
      </c>
      <c r="B22" s="5" t="n">
        <f aca="false">B12/(B11-B14)</f>
        <v>0.594594594594595</v>
      </c>
      <c r="C22" s="0" t="s">
        <v>26</v>
      </c>
    </row>
    <row r="23" customFormat="false" ht="15" hidden="false" customHeight="false" outlineLevel="0" collapsed="false">
      <c r="A23" s="0" t="s">
        <v>29</v>
      </c>
      <c r="B23" s="5" t="n">
        <f aca="false">B12/B11</f>
        <v>0.478260869565217</v>
      </c>
      <c r="C23" s="0" t="s">
        <v>26</v>
      </c>
    </row>
    <row r="24" customFormat="false" ht="15" hidden="false" customHeight="false" outlineLevel="0" collapsed="false">
      <c r="A24" s="0" t="s">
        <v>30</v>
      </c>
      <c r="B24" s="5" t="n">
        <f aca="false">B7/B11</f>
        <v>32.6086956521739</v>
      </c>
      <c r="C24" s="0" t="s">
        <v>24</v>
      </c>
    </row>
    <row r="25" customFormat="false" ht="15" hidden="false" customHeight="false" outlineLevel="0" collapsed="false">
      <c r="A25" s="0" t="s">
        <v>31</v>
      </c>
      <c r="B25" s="5" t="n">
        <f aca="false">B7/B12</f>
        <v>68.1818181818182</v>
      </c>
      <c r="C25" s="0" t="s">
        <v>24</v>
      </c>
    </row>
    <row r="26" customFormat="false" ht="15" hidden="false" customHeight="false" outlineLevel="0" collapsed="false">
      <c r="A26" s="0" t="s">
        <v>32</v>
      </c>
      <c r="B26" s="5" t="n">
        <f aca="false">B12*B15</f>
        <v>6.6</v>
      </c>
      <c r="C26" s="0" t="s">
        <v>33</v>
      </c>
    </row>
    <row r="27" customFormat="false" ht="15" hidden="false" customHeight="false" outlineLevel="0" collapsed="false">
      <c r="A27" s="0" t="s">
        <v>34</v>
      </c>
      <c r="B27" s="5" t="n">
        <f aca="false">B7/B26</f>
        <v>227.272727272727</v>
      </c>
      <c r="C27" s="0" t="s">
        <v>24</v>
      </c>
    </row>
    <row r="30" customFormat="false" ht="15" hidden="false" customHeight="false" outlineLevel="0" collapsed="false">
      <c r="A30" s="2" t="s">
        <v>35</v>
      </c>
    </row>
    <row r="31" customFormat="false" ht="15" hidden="false" customHeight="false" outlineLevel="0" collapsed="false">
      <c r="A31" s="3" t="s">
        <v>4</v>
      </c>
      <c r="B31" s="3" t="s">
        <v>36</v>
      </c>
      <c r="C31" s="3" t="s">
        <v>37</v>
      </c>
      <c r="D31" s="3" t="s">
        <v>38</v>
      </c>
      <c r="E31" s="3" t="s">
        <v>39</v>
      </c>
    </row>
    <row r="32" customFormat="false" ht="15" hidden="false" customHeight="false" outlineLevel="0" collapsed="false">
      <c r="A32" s="0" t="s">
        <v>40</v>
      </c>
      <c r="B32" s="0" t="n">
        <f aca="false">B21</f>
        <v>0.19327731092437</v>
      </c>
      <c r="C32" s="0" t="s">
        <v>41</v>
      </c>
      <c r="D32" s="0" t="s">
        <v>42</v>
      </c>
      <c r="E32" s="0" t="str">
        <f aca="false">IF(B21&gt;0.1,"⭐ TOP",IF(B21&gt;0.05,"✅ Good","⚠️ Below"))</f>
        <v>⭐ TOP</v>
      </c>
    </row>
    <row r="33" customFormat="false" ht="15" hidden="false" customHeight="false" outlineLevel="0" collapsed="false">
      <c r="A33" s="0" t="s">
        <v>43</v>
      </c>
      <c r="B33" s="0" t="n">
        <f aca="false">B22</f>
        <v>0.594594594594595</v>
      </c>
      <c r="C33" s="0" t="s">
        <v>44</v>
      </c>
      <c r="D33" s="0" t="s">
        <v>45</v>
      </c>
      <c r="E33" s="0" t="str">
        <f aca="false">IF(B22&gt;0.8,"⭐ TOP",IF(B22&gt;0.6,"✅ Good","⚠️ Below"))</f>
        <v>⚠️ Below</v>
      </c>
    </row>
    <row r="34" customFormat="false" ht="15" hidden="false" customHeight="false" outlineLevel="0" collapsed="false">
      <c r="A34" s="0" t="s">
        <v>23</v>
      </c>
      <c r="B34" s="0" t="n">
        <f aca="false">B19</f>
        <v>6.30252100840336</v>
      </c>
      <c r="C34" s="0" t="s">
        <v>46</v>
      </c>
      <c r="D34" s="0" t="s">
        <v>47</v>
      </c>
      <c r="E34" s="0" t="str">
        <f aca="false">IF(B19&lt;35,"⭐ TOP",IF(B19&lt;85,"✅ Good","⚠️ Above"))</f>
        <v>⭐ TOP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.99"/>
    <col collapsed="false" customWidth="true" hidden="false" outlineLevel="0" max="4" min="3" style="0" width="15"/>
    <col collapsed="false" customWidth="true" hidden="false" outlineLevel="0" max="5" min="5" style="0" width="11.99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6" t="s">
        <v>48</v>
      </c>
    </row>
    <row r="3" customFormat="false" ht="15" hidden="false" customHeight="false" outlineLevel="0" collapsed="false">
      <c r="A3" s="2" t="s">
        <v>49</v>
      </c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</row>
    <row r="5" customFormat="false" ht="15" hidden="false" customHeight="false" outlineLevel="0" collapsed="false">
      <c r="A5" s="0" t="s">
        <v>54</v>
      </c>
      <c r="B5" s="7" t="n">
        <v>52066</v>
      </c>
      <c r="C5" s="0" t="n">
        <v>123</v>
      </c>
      <c r="D5" s="8" t="n">
        <f aca="false">B5/B9</f>
        <v>0.473641598515378</v>
      </c>
    </row>
    <row r="6" customFormat="false" ht="15" hidden="false" customHeight="false" outlineLevel="0" collapsed="false">
      <c r="A6" s="0" t="s">
        <v>55</v>
      </c>
      <c r="B6" s="7" t="n">
        <v>25000</v>
      </c>
      <c r="C6" s="0" t="n">
        <v>5</v>
      </c>
      <c r="D6" s="8" t="n">
        <f aca="false">B6/B9</f>
        <v>0.227423653879393</v>
      </c>
    </row>
    <row r="7" customFormat="false" ht="15" hidden="false" customHeight="false" outlineLevel="0" collapsed="false">
      <c r="A7" s="0" t="s">
        <v>56</v>
      </c>
      <c r="B7" s="7" t="n">
        <v>25394</v>
      </c>
      <c r="C7" s="0" t="n">
        <v>9</v>
      </c>
      <c r="D7" s="8" t="n">
        <f aca="false">B7/B9</f>
        <v>0.231007850664532</v>
      </c>
    </row>
    <row r="8" customFormat="false" ht="15" hidden="false" customHeight="false" outlineLevel="0" collapsed="false">
      <c r="A8" s="0" t="s">
        <v>57</v>
      </c>
      <c r="B8" s="7" t="n">
        <v>7467</v>
      </c>
      <c r="C8" s="0" t="n">
        <v>77</v>
      </c>
      <c r="D8" s="8" t="n">
        <f aca="false">B8/B9</f>
        <v>0.067926896940697</v>
      </c>
    </row>
    <row r="9" customFormat="false" ht="15" hidden="false" customHeight="false" outlineLevel="0" collapsed="false">
      <c r="A9" s="2" t="s">
        <v>58</v>
      </c>
      <c r="B9" s="9" t="n">
        <f aca="false">SUM(B5:B8)</f>
        <v>109927</v>
      </c>
      <c r="C9" s="2" t="n">
        <f aca="false">SUM(C5:C8)</f>
        <v>214</v>
      </c>
    </row>
    <row r="12" customFormat="false" ht="15" hidden="false" customHeight="false" outlineLevel="0" collapsed="false">
      <c r="A12" s="2" t="s">
        <v>59</v>
      </c>
    </row>
    <row r="13" customFormat="false" ht="15" hidden="false" customHeight="false" outlineLevel="0" collapsed="false">
      <c r="A13" s="3" t="s">
        <v>60</v>
      </c>
      <c r="B13" s="3" t="s">
        <v>61</v>
      </c>
      <c r="C13" s="3" t="s">
        <v>62</v>
      </c>
      <c r="D13" s="3" t="s">
        <v>63</v>
      </c>
    </row>
    <row r="14" customFormat="false" ht="15" hidden="false" customHeight="false" outlineLevel="0" collapsed="false">
      <c r="A14" s="0" t="s">
        <v>64</v>
      </c>
      <c r="B14" s="7" t="n">
        <v>97</v>
      </c>
      <c r="C14" s="4" t="n">
        <v>3</v>
      </c>
      <c r="D14" s="10" t="n">
        <f aca="false">B14*C14</f>
        <v>291</v>
      </c>
    </row>
    <row r="15" customFormat="false" ht="15" hidden="false" customHeight="false" outlineLevel="0" collapsed="false">
      <c r="A15" s="0" t="s">
        <v>65</v>
      </c>
      <c r="B15" s="7" t="n">
        <v>197</v>
      </c>
      <c r="C15" s="4" t="n">
        <v>10</v>
      </c>
      <c r="D15" s="10" t="n">
        <f aca="false">B15*C15</f>
        <v>1970</v>
      </c>
    </row>
    <row r="16" customFormat="false" ht="15" hidden="false" customHeight="false" outlineLevel="0" collapsed="false">
      <c r="A16" s="0" t="s">
        <v>66</v>
      </c>
      <c r="B16" s="7" t="n">
        <v>297</v>
      </c>
      <c r="C16" s="4" t="n">
        <v>7</v>
      </c>
      <c r="D16" s="10" t="n">
        <f aca="false">B16*C16</f>
        <v>2079</v>
      </c>
    </row>
    <row r="17" customFormat="false" ht="15" hidden="false" customHeight="false" outlineLevel="0" collapsed="false">
      <c r="A17" s="0" t="s">
        <v>67</v>
      </c>
      <c r="B17" s="7" t="n">
        <v>497</v>
      </c>
      <c r="C17" s="4" t="n">
        <v>8</v>
      </c>
      <c r="D17" s="10" t="n">
        <f aca="false">B17*C17</f>
        <v>3976</v>
      </c>
    </row>
    <row r="18" customFormat="false" ht="15" hidden="false" customHeight="false" outlineLevel="0" collapsed="false">
      <c r="A18" s="0" t="s">
        <v>68</v>
      </c>
      <c r="B18" s="7" t="n">
        <v>597</v>
      </c>
      <c r="C18" s="4" t="n">
        <v>3</v>
      </c>
      <c r="D18" s="10" t="n">
        <f aca="false">B18*C18</f>
        <v>1791</v>
      </c>
    </row>
    <row r="19" customFormat="false" ht="15" hidden="false" customHeight="false" outlineLevel="0" collapsed="false">
      <c r="A19" s="0" t="s">
        <v>69</v>
      </c>
      <c r="B19" s="7" t="n">
        <v>650</v>
      </c>
      <c r="C19" s="4" t="n">
        <v>10</v>
      </c>
      <c r="D19" s="10" t="n">
        <f aca="false">B19*C19</f>
        <v>6500</v>
      </c>
    </row>
    <row r="20" customFormat="false" ht="15" hidden="false" customHeight="false" outlineLevel="0" collapsed="false">
      <c r="A20" s="0" t="s">
        <v>70</v>
      </c>
      <c r="B20" s="7" t="n">
        <v>900</v>
      </c>
      <c r="C20" s="4" t="n">
        <v>1</v>
      </c>
      <c r="D20" s="10" t="n">
        <f aca="false">B20*C20</f>
        <v>900</v>
      </c>
    </row>
    <row r="21" customFormat="false" ht="15" hidden="false" customHeight="false" outlineLevel="0" collapsed="false">
      <c r="A21" s="0" t="s">
        <v>71</v>
      </c>
      <c r="B21" s="7" t="n">
        <v>997</v>
      </c>
      <c r="C21" s="4" t="n">
        <v>2</v>
      </c>
      <c r="D21" s="10" t="n">
        <f aca="false">B21*C21</f>
        <v>1994</v>
      </c>
    </row>
    <row r="22" customFormat="false" ht="15" hidden="false" customHeight="false" outlineLevel="0" collapsed="false">
      <c r="A22" s="2" t="s">
        <v>72</v>
      </c>
      <c r="D22" s="11" t="n">
        <f aca="false">SUM(D14:D21)</f>
        <v>19501</v>
      </c>
    </row>
    <row r="25" customFormat="false" ht="15" hidden="false" customHeight="false" outlineLevel="0" collapsed="false">
      <c r="A25" s="2" t="s">
        <v>73</v>
      </c>
    </row>
    <row r="26" customFormat="false" ht="15" hidden="false" customHeight="false" outlineLevel="0" collapsed="false">
      <c r="A26" s="0" t="s">
        <v>74</v>
      </c>
      <c r="B26" s="4" t="n">
        <v>500</v>
      </c>
      <c r="C26" s="0" t="s">
        <v>75</v>
      </c>
      <c r="D26" s="4" t="n">
        <v>4</v>
      </c>
      <c r="E26" s="0" t="s">
        <v>76</v>
      </c>
      <c r="F26" s="10" t="n">
        <f aca="false">B26*D26</f>
        <v>2000</v>
      </c>
    </row>
    <row r="27" customFormat="false" ht="15" hidden="false" customHeight="false" outlineLevel="0" collapsed="false">
      <c r="A27" s="0" t="s">
        <v>77</v>
      </c>
      <c r="B27" s="4" t="n">
        <v>650</v>
      </c>
      <c r="D27" s="4" t="n">
        <v>8</v>
      </c>
      <c r="F27" s="10" t="n">
        <f aca="false">B27*D27</f>
        <v>5200</v>
      </c>
    </row>
    <row r="28" customFormat="false" ht="15" hidden="false" customHeight="false" outlineLevel="0" collapsed="false">
      <c r="A28" s="0" t="s">
        <v>78</v>
      </c>
      <c r="F28" s="9" t="n">
        <f aca="false">AVERAGE(F26:F27)</f>
        <v>3600</v>
      </c>
    </row>
    <row r="31" customFormat="false" ht="15" hidden="false" customHeight="false" outlineLevel="0" collapsed="false">
      <c r="A31" s="2" t="s">
        <v>79</v>
      </c>
    </row>
    <row r="32" customFormat="false" ht="15" hidden="false" customHeight="false" outlineLevel="0" collapsed="false">
      <c r="A32" s="0" t="s">
        <v>80</v>
      </c>
      <c r="B32" s="12" t="n">
        <f aca="false">'Funnel Analysis'!B27</f>
        <v>227.272727272727</v>
      </c>
    </row>
    <row r="33" customFormat="false" ht="15" hidden="false" customHeight="false" outlineLevel="0" collapsed="false">
      <c r="A33" s="0" t="s">
        <v>81</v>
      </c>
      <c r="B33" s="13" t="n">
        <f aca="false">F28/B32</f>
        <v>15.84</v>
      </c>
      <c r="C33" s="0" t="str">
        <f aca="false">IF(B33&gt;=5,"⭐ Excellent (5x+)",IF(B33&gt;=3,"✅ Healthy (3x+)","⚠️ Below threshold"))</f>
        <v>⭐ Excellent (5x+)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6" t="s">
        <v>82</v>
      </c>
    </row>
    <row r="3" customFormat="false" ht="15" hidden="false" customHeight="false" outlineLevel="0" collapsed="false">
      <c r="A3" s="2" t="s">
        <v>83</v>
      </c>
    </row>
    <row r="4" customFormat="false" ht="15" hidden="false" customHeight="false" outlineLevel="0" collapsed="false">
      <c r="A4" s="3" t="s">
        <v>84</v>
      </c>
      <c r="B4" s="3" t="s">
        <v>85</v>
      </c>
      <c r="C4" s="3" t="s">
        <v>86</v>
      </c>
      <c r="D4" s="3" t="s">
        <v>87</v>
      </c>
    </row>
    <row r="5" customFormat="false" ht="15" hidden="false" customHeight="false" outlineLevel="0" collapsed="false">
      <c r="A5" s="0" t="s">
        <v>88</v>
      </c>
      <c r="B5" s="7" t="n">
        <v>2500</v>
      </c>
      <c r="C5" s="7" t="n">
        <v>5000</v>
      </c>
      <c r="D5" s="7" t="n">
        <v>10000</v>
      </c>
    </row>
    <row r="6" customFormat="false" ht="15" hidden="false" customHeight="false" outlineLevel="0" collapsed="false">
      <c r="A6" s="0" t="s">
        <v>89</v>
      </c>
      <c r="B6" s="4" t="n">
        <v>6.3</v>
      </c>
      <c r="C6" s="4" t="n">
        <v>6.3</v>
      </c>
      <c r="D6" s="4" t="n">
        <v>6.3</v>
      </c>
    </row>
    <row r="7" customFormat="false" ht="15" hidden="false" customHeight="false" outlineLevel="0" collapsed="false">
      <c r="A7" s="0" t="s">
        <v>90</v>
      </c>
      <c r="B7" s="14" t="n">
        <v>0.19</v>
      </c>
      <c r="C7" s="14" t="n">
        <v>0.19</v>
      </c>
      <c r="D7" s="14" t="n">
        <v>0.19</v>
      </c>
    </row>
    <row r="8" customFormat="false" ht="15" hidden="false" customHeight="false" outlineLevel="0" collapsed="false">
      <c r="A8" s="0" t="s">
        <v>91</v>
      </c>
      <c r="B8" s="14" t="n">
        <v>0.65</v>
      </c>
      <c r="C8" s="14" t="n">
        <v>0.7</v>
      </c>
      <c r="D8" s="14" t="n">
        <v>0.75</v>
      </c>
    </row>
    <row r="9" customFormat="false" ht="15" hidden="false" customHeight="false" outlineLevel="0" collapsed="false">
      <c r="A9" s="0" t="s">
        <v>92</v>
      </c>
      <c r="B9" s="14" t="n">
        <v>0.3</v>
      </c>
      <c r="C9" s="14" t="n">
        <v>0.35</v>
      </c>
      <c r="D9" s="14" t="n">
        <v>0.38</v>
      </c>
    </row>
    <row r="10" customFormat="false" ht="15" hidden="false" customHeight="false" outlineLevel="0" collapsed="false">
      <c r="A10" s="0" t="s">
        <v>93</v>
      </c>
      <c r="B10" s="7" t="n">
        <v>500</v>
      </c>
      <c r="C10" s="7" t="n">
        <v>500</v>
      </c>
      <c r="D10" s="7" t="n">
        <v>500</v>
      </c>
    </row>
    <row r="11" customFormat="false" ht="15" hidden="false" customHeight="false" outlineLevel="0" collapsed="false">
      <c r="A11" s="0" t="s">
        <v>94</v>
      </c>
      <c r="B11" s="14" t="n">
        <v>0.5</v>
      </c>
      <c r="C11" s="14" t="n">
        <v>0.65</v>
      </c>
      <c r="D11" s="14" t="n">
        <v>0.75</v>
      </c>
    </row>
    <row r="12" customFormat="false" ht="15" hidden="false" customHeight="false" outlineLevel="0" collapsed="false">
      <c r="A12" s="0" t="s">
        <v>95</v>
      </c>
      <c r="B12" s="7" t="n">
        <v>15000</v>
      </c>
      <c r="C12" s="7" t="n">
        <v>25000</v>
      </c>
      <c r="D12" s="7" t="n">
        <v>40000</v>
      </c>
    </row>
    <row r="15" customFormat="false" ht="15" hidden="false" customHeight="false" outlineLevel="0" collapsed="false">
      <c r="A15" s="2" t="s">
        <v>96</v>
      </c>
    </row>
    <row r="16" customFormat="false" ht="15" hidden="false" customHeight="false" outlineLevel="0" collapsed="false">
      <c r="A16" s="3" t="s">
        <v>4</v>
      </c>
      <c r="B16" s="3" t="s">
        <v>85</v>
      </c>
      <c r="C16" s="3" t="s">
        <v>86</v>
      </c>
      <c r="D16" s="3" t="s">
        <v>87</v>
      </c>
    </row>
    <row r="17" customFormat="false" ht="15" hidden="false" customHeight="false" outlineLevel="0" collapsed="false">
      <c r="A17" s="0" t="s">
        <v>9</v>
      </c>
      <c r="B17" s="15" t="n">
        <f aca="false">B5/B6</f>
        <v>396.825396825397</v>
      </c>
      <c r="C17" s="15" t="n">
        <f aca="false">C5/C6</f>
        <v>793.650793650794</v>
      </c>
      <c r="D17" s="15" t="n">
        <f aca="false">D5/D6</f>
        <v>1587.30158730159</v>
      </c>
    </row>
    <row r="18" customFormat="false" ht="15" hidden="false" customHeight="false" outlineLevel="0" collapsed="false">
      <c r="A18" s="0" t="s">
        <v>15</v>
      </c>
      <c r="B18" s="15" t="n">
        <f aca="false">B17*B7</f>
        <v>75.3968253968254</v>
      </c>
      <c r="C18" s="15" t="n">
        <f aca="false">C17*C7</f>
        <v>150.793650793651</v>
      </c>
      <c r="D18" s="15" t="n">
        <f aca="false">D17*D7</f>
        <v>301.587301587302</v>
      </c>
    </row>
    <row r="19" customFormat="false" ht="15" hidden="false" customHeight="false" outlineLevel="0" collapsed="false">
      <c r="A19" s="0" t="s">
        <v>97</v>
      </c>
      <c r="B19" s="15" t="n">
        <f aca="false">B18*B8</f>
        <v>49.0079365079365</v>
      </c>
      <c r="C19" s="15" t="n">
        <f aca="false">C18*C8</f>
        <v>105.555555555556</v>
      </c>
      <c r="D19" s="15" t="n">
        <f aca="false">D18*D8</f>
        <v>226.190476190476</v>
      </c>
    </row>
    <row r="20" customFormat="false" ht="15" hidden="false" customHeight="false" outlineLevel="0" collapsed="false">
      <c r="A20" s="0" t="s">
        <v>98</v>
      </c>
      <c r="B20" s="15" t="n">
        <f aca="false">B19*B9</f>
        <v>14.702380952381</v>
      </c>
      <c r="C20" s="15" t="n">
        <f aca="false">C19*C9</f>
        <v>36.9444444444444</v>
      </c>
      <c r="D20" s="15" t="n">
        <f aca="false">D19*D9</f>
        <v>85.952380952381</v>
      </c>
    </row>
    <row r="21" customFormat="false" ht="15" hidden="false" customHeight="false" outlineLevel="0" collapsed="false">
      <c r="A21" s="0" t="s">
        <v>99</v>
      </c>
      <c r="B21" s="16" t="n">
        <f aca="false">B20*B10</f>
        <v>7351.19047619048</v>
      </c>
      <c r="C21" s="16" t="n">
        <f aca="false">C20*C10</f>
        <v>18472.2222222222</v>
      </c>
      <c r="D21" s="16" t="n">
        <f aca="false">D20*D10</f>
        <v>42976.1904761905</v>
      </c>
    </row>
    <row r="24" customFormat="false" ht="15" hidden="false" customHeight="false" outlineLevel="0" collapsed="false">
      <c r="A24" s="2" t="s">
        <v>100</v>
      </c>
    </row>
    <row r="25" customFormat="false" ht="15" hidden="false" customHeight="false" outlineLevel="0" collapsed="false">
      <c r="A25" s="3" t="s">
        <v>101</v>
      </c>
      <c r="B25" s="3" t="s">
        <v>85</v>
      </c>
      <c r="C25" s="3" t="s">
        <v>86</v>
      </c>
      <c r="D25" s="3" t="s">
        <v>87</v>
      </c>
    </row>
    <row r="26" customFormat="false" ht="15" hidden="false" customHeight="false" outlineLevel="0" collapsed="false">
      <c r="A26" s="0" t="s">
        <v>102</v>
      </c>
      <c r="B26" s="16" t="n">
        <f aca="false">B21*3*0.6</f>
        <v>13232.1428571429</v>
      </c>
      <c r="C26" s="16" t="n">
        <f aca="false">C21*3*0.7</f>
        <v>38791.6666666667</v>
      </c>
      <c r="D26" s="16" t="n">
        <f aca="false">D21*3*0.8</f>
        <v>103142.857142857</v>
      </c>
    </row>
    <row r="27" customFormat="false" ht="15" hidden="false" customHeight="false" outlineLevel="0" collapsed="false">
      <c r="A27" s="0" t="s">
        <v>103</v>
      </c>
      <c r="B27" s="16" t="n">
        <f aca="false">B12</f>
        <v>15000</v>
      </c>
      <c r="C27" s="16" t="n">
        <f aca="false">C12</f>
        <v>25000</v>
      </c>
      <c r="D27" s="16" t="n">
        <f aca="false">D12</f>
        <v>40000</v>
      </c>
    </row>
    <row r="28" customFormat="false" ht="15" hidden="false" customHeight="false" outlineLevel="0" collapsed="false">
      <c r="A28" s="0" t="s">
        <v>94</v>
      </c>
      <c r="B28" s="16" t="n">
        <f aca="false">25870*B11</f>
        <v>12935</v>
      </c>
      <c r="C28" s="16" t="n">
        <f aca="false">25870*C11</f>
        <v>16815.5</v>
      </c>
      <c r="D28" s="16" t="n">
        <f aca="false">25870*D11</f>
        <v>19402.5</v>
      </c>
    </row>
    <row r="29" customFormat="false" ht="15" hidden="false" customHeight="false" outlineLevel="0" collapsed="false">
      <c r="A29" s="2" t="s">
        <v>104</v>
      </c>
      <c r="B29" s="11" t="n">
        <f aca="false">SUM(B26:B28)</f>
        <v>41167.1428571429</v>
      </c>
      <c r="C29" s="11" t="n">
        <f aca="false">SUM(C26:C28)</f>
        <v>80607.1666666667</v>
      </c>
      <c r="D29" s="11" t="n">
        <f aca="false">SUM(D26:D28)</f>
        <v>162545.357142857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6" t="s">
        <v>105</v>
      </c>
    </row>
    <row r="3" customFormat="false" ht="15" hidden="false" customHeight="false" outlineLevel="0" collapsed="false">
      <c r="A3" s="2" t="s">
        <v>106</v>
      </c>
    </row>
    <row r="4" customFormat="false" ht="15" hidden="false" customHeight="false" outlineLevel="0" collapsed="false">
      <c r="A4" s="0" t="s">
        <v>107</v>
      </c>
      <c r="B4" s="7" t="n">
        <v>60000</v>
      </c>
    </row>
    <row r="5" customFormat="false" ht="15" hidden="false" customHeight="false" outlineLevel="0" collapsed="false">
      <c r="A5" s="0" t="s">
        <v>108</v>
      </c>
      <c r="B5" s="7" t="n">
        <v>20000</v>
      </c>
    </row>
    <row r="6" customFormat="false" ht="15" hidden="false" customHeight="false" outlineLevel="0" collapsed="false">
      <c r="A6" s="0" t="s">
        <v>109</v>
      </c>
      <c r="B6" s="9" t="n">
        <f aca="false">B4+B5</f>
        <v>80000</v>
      </c>
    </row>
    <row r="9" customFormat="false" ht="15" hidden="false" customHeight="false" outlineLevel="0" collapsed="false">
      <c r="A9" s="2" t="s">
        <v>110</v>
      </c>
    </row>
    <row r="10" customFormat="false" ht="15" hidden="false" customHeight="false" outlineLevel="0" collapsed="false">
      <c r="A10" s="3" t="s">
        <v>111</v>
      </c>
      <c r="B10" s="3" t="s">
        <v>85</v>
      </c>
      <c r="C10" s="3" t="s">
        <v>86</v>
      </c>
      <c r="D10" s="3" t="s">
        <v>87</v>
      </c>
    </row>
    <row r="11" customFormat="false" ht="15" hidden="false" customHeight="false" outlineLevel="0" collapsed="false">
      <c r="A11" s="0" t="s">
        <v>112</v>
      </c>
      <c r="B11" s="16" t="n">
        <f aca="false">'Scenario Projections'!B29</f>
        <v>41167.1428571429</v>
      </c>
      <c r="C11" s="16" t="n">
        <f aca="false">'Scenario Projections'!C29</f>
        <v>80607.1666666667</v>
      </c>
      <c r="D11" s="16" t="n">
        <f aca="false">'Scenario Projections'!D29</f>
        <v>162545.357142857</v>
      </c>
    </row>
    <row r="12" customFormat="false" ht="15" hidden="false" customHeight="false" outlineLevel="0" collapsed="false">
      <c r="A12" s="0" t="s">
        <v>113</v>
      </c>
      <c r="B12" s="16" t="n">
        <f aca="false">B11*4</f>
        <v>164668.571428571</v>
      </c>
      <c r="C12" s="16" t="n">
        <f aca="false">C11*4</f>
        <v>322428.666666667</v>
      </c>
      <c r="D12" s="16" t="n">
        <f aca="false">D11*4</f>
        <v>650181.428571429</v>
      </c>
    </row>
    <row r="13" customFormat="false" ht="15" hidden="false" customHeight="false" outlineLevel="0" collapsed="false">
      <c r="A13" s="0" t="s">
        <v>114</v>
      </c>
      <c r="B13" s="17" t="n">
        <f aca="false">B12/$B$4</f>
        <v>2.74447619047619</v>
      </c>
      <c r="C13" s="17" t="n">
        <f aca="false">C12/$B$4</f>
        <v>5.37381111111111</v>
      </c>
      <c r="D13" s="17" t="n">
        <f aca="false">D12/$B$4</f>
        <v>10.8363571428571</v>
      </c>
    </row>
    <row r="14" customFormat="false" ht="15" hidden="false" customHeight="false" outlineLevel="0" collapsed="false">
      <c r="A14" s="0" t="s">
        <v>115</v>
      </c>
      <c r="B14" s="17" t="n">
        <f aca="false">B12/$B$6</f>
        <v>2.05835714285714</v>
      </c>
      <c r="C14" s="17" t="n">
        <f aca="false">C12/$B$6</f>
        <v>4.03035833333333</v>
      </c>
      <c r="D14" s="17" t="n">
        <f aca="false">D12/$B$6</f>
        <v>8.12726785714286</v>
      </c>
    </row>
    <row r="17" customFormat="false" ht="15" hidden="false" customHeight="false" outlineLevel="0" collapsed="false">
      <c r="A17" s="2" t="s">
        <v>116</v>
      </c>
    </row>
    <row r="18" customFormat="false" ht="15" hidden="false" customHeight="false" outlineLevel="0" collapsed="false">
      <c r="A18" s="0" t="s">
        <v>117</v>
      </c>
      <c r="B18" s="16" t="n">
        <f aca="false">B12/12</f>
        <v>13722.380952381</v>
      </c>
      <c r="C18" s="16" t="n">
        <f aca="false">C12/12</f>
        <v>26869.0555555556</v>
      </c>
      <c r="D18" s="16" t="n">
        <f aca="false">D12/12</f>
        <v>54181.7857142857</v>
      </c>
    </row>
    <row r="19" customFormat="false" ht="15" hidden="false" customHeight="false" outlineLevel="0" collapsed="false">
      <c r="A19" s="0" t="s">
        <v>118</v>
      </c>
      <c r="B19" s="18" t="n">
        <f aca="false">$B$4/B18</f>
        <v>4.37241905819482</v>
      </c>
      <c r="C19" s="18" t="n">
        <f aca="false">$B$4/C18</f>
        <v>2.23305206526301</v>
      </c>
      <c r="D19" s="18" t="n">
        <f aca="false">$B$4/D18</f>
        <v>1.10738321391612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6" t="s">
        <v>119</v>
      </c>
    </row>
    <row r="3" customFormat="false" ht="15" hidden="false" customHeight="false" outlineLevel="0" collapsed="false">
      <c r="A3" s="3" t="s">
        <v>4</v>
      </c>
      <c r="B3" s="3" t="s">
        <v>85</v>
      </c>
      <c r="C3" s="3" t="s">
        <v>120</v>
      </c>
      <c r="D3" s="3" t="s">
        <v>121</v>
      </c>
      <c r="E3" s="3" t="s">
        <v>122</v>
      </c>
    </row>
    <row r="4" customFormat="false" ht="15" hidden="false" customHeight="false" outlineLevel="0" collapsed="false">
      <c r="A4" s="0" t="s">
        <v>27</v>
      </c>
      <c r="B4" s="0" t="s">
        <v>123</v>
      </c>
      <c r="C4" s="0" t="s">
        <v>41</v>
      </c>
      <c r="D4" s="0" t="s">
        <v>42</v>
      </c>
      <c r="E4" s="19" t="s">
        <v>124</v>
      </c>
    </row>
    <row r="5" customFormat="false" ht="15" hidden="false" customHeight="false" outlineLevel="0" collapsed="false">
      <c r="A5" s="0" t="s">
        <v>125</v>
      </c>
      <c r="B5" s="0" t="s">
        <v>126</v>
      </c>
      <c r="C5" s="0" t="s">
        <v>127</v>
      </c>
      <c r="D5" s="0" t="s">
        <v>128</v>
      </c>
      <c r="E5" s="19" t="s">
        <v>129</v>
      </c>
    </row>
    <row r="6" customFormat="false" ht="15" hidden="false" customHeight="false" outlineLevel="0" collapsed="false">
      <c r="A6" s="0" t="s">
        <v>130</v>
      </c>
      <c r="B6" s="0" t="s">
        <v>131</v>
      </c>
      <c r="C6" s="0" t="s">
        <v>132</v>
      </c>
      <c r="D6" s="0" t="s">
        <v>133</v>
      </c>
      <c r="E6" s="19" t="s">
        <v>134</v>
      </c>
    </row>
    <row r="7" customFormat="false" ht="15" hidden="false" customHeight="false" outlineLevel="0" collapsed="false">
      <c r="A7" s="0" t="s">
        <v>135</v>
      </c>
      <c r="B7" s="0" t="s">
        <v>136</v>
      </c>
      <c r="C7" s="0" t="s">
        <v>46</v>
      </c>
      <c r="D7" s="0" t="s">
        <v>47</v>
      </c>
      <c r="E7" s="19" t="s">
        <v>137</v>
      </c>
    </row>
    <row r="8" customFormat="false" ht="15" hidden="false" customHeight="false" outlineLevel="0" collapsed="false">
      <c r="A8" s="0" t="s">
        <v>81</v>
      </c>
      <c r="B8" s="0" t="s">
        <v>138</v>
      </c>
      <c r="C8" s="0" t="s">
        <v>139</v>
      </c>
      <c r="D8" s="0" t="s">
        <v>140</v>
      </c>
      <c r="E8" s="19" t="s">
        <v>141</v>
      </c>
    </row>
    <row r="9" customFormat="false" ht="15" hidden="false" customHeight="false" outlineLevel="0" collapsed="false">
      <c r="A9" s="0" t="s">
        <v>142</v>
      </c>
      <c r="B9" s="0" t="s">
        <v>143</v>
      </c>
      <c r="C9" s="0" t="s">
        <v>144</v>
      </c>
      <c r="D9" s="0" t="s">
        <v>145</v>
      </c>
      <c r="E9" s="19" t="s">
        <v>146</v>
      </c>
    </row>
    <row r="10" customFormat="false" ht="15" hidden="false" customHeight="false" outlineLevel="0" collapsed="false">
      <c r="A10" s="0" t="s">
        <v>147</v>
      </c>
      <c r="B10" s="0" t="s">
        <v>41</v>
      </c>
      <c r="C10" s="0" t="s">
        <v>148</v>
      </c>
      <c r="D10" s="0" t="s">
        <v>149</v>
      </c>
      <c r="E10" s="19" t="s">
        <v>150</v>
      </c>
    </row>
    <row r="11" customFormat="false" ht="15" hidden="false" customHeight="false" outlineLevel="0" collapsed="false">
      <c r="A11" s="0" t="s">
        <v>94</v>
      </c>
      <c r="B11" s="0" t="s">
        <v>151</v>
      </c>
      <c r="C11" s="0" t="s">
        <v>152</v>
      </c>
      <c r="D11" s="0" t="s">
        <v>153</v>
      </c>
      <c r="E11" s="19" t="s">
        <v>154</v>
      </c>
    </row>
    <row r="14" customFormat="false" ht="15" hidden="false" customHeight="false" outlineLevel="0" collapsed="false">
      <c r="A14" s="2" t="s">
        <v>155</v>
      </c>
    </row>
    <row r="15" customFormat="false" ht="15" hidden="false" customHeight="false" outlineLevel="0" collapsed="false">
      <c r="A15" s="3" t="s">
        <v>4</v>
      </c>
      <c r="B15" s="3" t="s">
        <v>36</v>
      </c>
      <c r="C15" s="3" t="s">
        <v>156</v>
      </c>
      <c r="D15" s="3" t="s">
        <v>157</v>
      </c>
    </row>
    <row r="16" customFormat="false" ht="15" hidden="false" customHeight="false" outlineLevel="0" collapsed="false">
      <c r="A16" s="0" t="s">
        <v>27</v>
      </c>
      <c r="B16" s="0" t="s">
        <v>158</v>
      </c>
      <c r="C16" s="0" t="s">
        <v>159</v>
      </c>
      <c r="D16" s="20" t="s">
        <v>160</v>
      </c>
    </row>
    <row r="17" customFormat="false" ht="15" hidden="false" customHeight="false" outlineLevel="0" collapsed="false">
      <c r="A17" s="0" t="s">
        <v>43</v>
      </c>
      <c r="B17" s="0" t="s">
        <v>161</v>
      </c>
      <c r="C17" s="0" t="s">
        <v>162</v>
      </c>
      <c r="D17" s="0" t="s">
        <v>163</v>
      </c>
    </row>
    <row r="18" customFormat="false" ht="15" hidden="false" customHeight="false" outlineLevel="0" collapsed="false">
      <c r="A18" s="0" t="s">
        <v>23</v>
      </c>
      <c r="B18" s="0" t="s">
        <v>164</v>
      </c>
      <c r="C18" s="0" t="s">
        <v>165</v>
      </c>
      <c r="D18" s="20" t="s">
        <v>166</v>
      </c>
    </row>
    <row r="19" customFormat="false" ht="15" hidden="false" customHeight="false" outlineLevel="0" collapsed="false">
      <c r="A19" s="0" t="s">
        <v>81</v>
      </c>
      <c r="B19" s="0" t="s">
        <v>167</v>
      </c>
      <c r="C19" s="0" t="s">
        <v>168</v>
      </c>
      <c r="D19" s="20" t="s">
        <v>160</v>
      </c>
    </row>
    <row r="20" customFormat="false" ht="15" hidden="false" customHeight="false" outlineLevel="0" collapsed="false">
      <c r="A20" s="0" t="s">
        <v>142</v>
      </c>
      <c r="B20" s="0" t="s">
        <v>169</v>
      </c>
      <c r="C20" s="0" t="s">
        <v>170</v>
      </c>
      <c r="D20" s="2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2026-01-31T00:00:56Z</dcterms:created>
  <dc:creator>openpyxl</dc:creator>
  <dc:description/>
  <dc:language>en-US</dc:language>
  <cp:lastModifiedBy/>
  <dcterms:modified xsi:type="dcterms:W3CDTF">2026-01-31T00:00:56Z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